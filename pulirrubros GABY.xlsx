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8_{A1EF5824-6763-4B18-9746-86FDF3B77EDD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Compras" sheetId="1" r:id="rId1"/>
    <sheet name="Ventas" sheetId="2" r:id="rId2"/>
    <sheet name="Resumen" sheetId="3" r:id="rId3"/>
    <sheet name="Stock" sheetId="4" r:id="rId4"/>
    <sheet name="Instrucciones" sheetId="5" r:id="rId5"/>
  </sheets>
  <calcPr calcId="191029"/>
</workbook>
</file>

<file path=xl/calcChain.xml><?xml version="1.0" encoding="utf-8"?>
<calcChain xmlns="http://schemas.openxmlformats.org/spreadsheetml/2006/main">
  <c r="C50" i="4" l="1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D3" i="4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7" i="4" l="1"/>
  <c r="D11" i="4"/>
  <c r="D15" i="4"/>
  <c r="D19" i="4"/>
  <c r="D23" i="4"/>
  <c r="D27" i="4"/>
  <c r="D31" i="4"/>
  <c r="D35" i="4"/>
  <c r="D39" i="4"/>
  <c r="D47" i="4"/>
  <c r="D49" i="4"/>
  <c r="B2" i="3"/>
  <c r="B3" i="3"/>
  <c r="D43" i="4"/>
  <c r="D2" i="4"/>
  <c r="D4" i="4"/>
  <c r="D6" i="4"/>
  <c r="D8" i="4"/>
  <c r="D10" i="4"/>
  <c r="D12" i="4"/>
  <c r="D14" i="4"/>
  <c r="D16" i="4"/>
  <c r="D18" i="4"/>
  <c r="D20" i="4"/>
  <c r="D22" i="4"/>
  <c r="D24" i="4"/>
  <c r="D26" i="4"/>
  <c r="D28" i="4"/>
  <c r="D30" i="4"/>
  <c r="D32" i="4"/>
  <c r="D34" i="4"/>
  <c r="D36" i="4"/>
  <c r="D38" i="4"/>
  <c r="D40" i="4"/>
  <c r="D42" i="4"/>
  <c r="D44" i="4"/>
  <c r="D46" i="4"/>
  <c r="D48" i="4"/>
  <c r="D50" i="4"/>
  <c r="D13" i="4"/>
  <c r="D45" i="4"/>
  <c r="D29" i="4"/>
  <c r="D5" i="4"/>
  <c r="D21" i="4"/>
  <c r="D37" i="4"/>
  <c r="D17" i="4"/>
  <c r="D33" i="4"/>
  <c r="D9" i="4"/>
  <c r="D25" i="4"/>
  <c r="D41" i="4"/>
  <c r="B4" i="3" l="1"/>
</calcChain>
</file>

<file path=xl/sharedStrings.xml><?xml version="1.0" encoding="utf-8"?>
<sst xmlns="http://schemas.openxmlformats.org/spreadsheetml/2006/main" count="73" uniqueCount="39">
  <si>
    <t>Fecha</t>
  </si>
  <si>
    <t>Producto</t>
  </si>
  <si>
    <t>Cantidad Comprada</t>
  </si>
  <si>
    <t>Precio Compra</t>
  </si>
  <si>
    <t>Total Compra</t>
  </si>
  <si>
    <t>Cantidad Vendida</t>
  </si>
  <si>
    <t>Precio Venta</t>
  </si>
  <si>
    <t>Total Venta</t>
  </si>
  <si>
    <t>Concepto</t>
  </si>
  <si>
    <t>Monto</t>
  </si>
  <si>
    <t>Total Gastado</t>
  </si>
  <si>
    <t>Total Vendido</t>
  </si>
  <si>
    <t>Ganancia Total</t>
  </si>
  <si>
    <t>Comprado</t>
  </si>
  <si>
    <t>Vendido</t>
  </si>
  <si>
    <t>Stock Actual</t>
  </si>
  <si>
    <t>BASE DE DATOS DE VENTAS Y COMPRAS</t>
  </si>
  <si>
    <t>1. Cargar las compras en la hoja 'Compras'.</t>
  </si>
  <si>
    <t>2. Cargar las ventas en la hoja 'Ventas'.</t>
  </si>
  <si>
    <t>3. El sistema calcula automáticamente ganancias y stock.</t>
  </si>
  <si>
    <t>4. Ver resultados en la hoja 'Resumen'.</t>
  </si>
  <si>
    <t>5. En la hoja 'Stock' escriba solo el nombre del producto.</t>
  </si>
  <si>
    <t>Jugo Acuarius</t>
  </si>
  <si>
    <t>Coca Cola</t>
  </si>
  <si>
    <t>pava electrica</t>
  </si>
  <si>
    <t>nebulizador</t>
  </si>
  <si>
    <t>bombilla de alpaca</t>
  </si>
  <si>
    <t>termos caballitos</t>
  </si>
  <si>
    <t>parlantes ositos</t>
  </si>
  <si>
    <t>parlantes porta celular</t>
  </si>
  <si>
    <t>auriculares M10</t>
  </si>
  <si>
    <t>Auriculares blancos</t>
  </si>
  <si>
    <t>cables USB tipo C</t>
  </si>
  <si>
    <t>cables USB tipo V8</t>
  </si>
  <si>
    <t>cargador tipo C</t>
  </si>
  <si>
    <t>cargador tipo v8</t>
  </si>
  <si>
    <t>Adaptador Wifi</t>
  </si>
  <si>
    <t>Extensor de Wifi</t>
  </si>
  <si>
    <t>Auriculares InPods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</si>
</sst>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color rgb="FFFFFFFF"/>
      <name val="Times New Roman"/>
      <family val="1"/>
    </font>
    <font>
      <b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38761D"/>
      </patternFill>
    </fill>
    <fill>
      <patternFill patternType="solid">
        <fgColor rgb="FF990000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2" fillId="0" borderId="0" xfId="0" applyFont="1"/>
    <xf numFmtId="0" fontId="4" fillId="0" borderId="0" xfId="0" applyFont="1" applyAlignment="1">
      <alignment horizontal="center"/>
    </xf>
    <xf numFmtId="0" fontId="4" fillId="12" borderId="0" xfId="0" applyFont="1" applyFill="1" applyAlignment="1">
      <alignment horizontal="center"/>
    </xf>
    <xf numFmtId="0" fontId="3" fillId="12" borderId="1" xfId="0" applyFont="1" applyFill="1" applyBorder="1" applyAlignment="1">
      <alignment horizontal="center"/>
    </xf>
    <xf numFmtId="14" fontId="4" fillId="12" borderId="1" xfId="0" applyNumberFormat="1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Resumen Financiero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Resumen!$A$2:$A$4</c:f>
              <c:strCache>
                <c:ptCount val="3"/>
                <c:pt idx="0">
                  <c:v>Total Gastado</c:v>
                </c:pt>
                <c:pt idx="1">
                  <c:v>Total Vendido</c:v>
                </c:pt>
                <c:pt idx="2">
                  <c:v>Ganancia Total</c:v>
                </c:pt>
              </c:strCache>
            </c:strRef>
          </c:cat>
          <c:val>
            <c:numRef>
              <c:f>Resumen!$B$2:$B$4</c:f>
              <c:numCache>
                <c:formatCode>General</c:formatCode>
                <c:ptCount val="3"/>
                <c:pt idx="0">
                  <c:v>373900</c:v>
                </c:pt>
                <c:pt idx="1">
                  <c:v>191600</c:v>
                </c:pt>
                <c:pt idx="2">
                  <c:v>-182300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9-420B-BC1D-A1C25E9ED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Distribución General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Resumen!$A$2:$A$4</c:f>
              <c:strCache>
                <c:ptCount val="3"/>
                <c:pt idx="0">
                  <c:v>Total Gastado</c:v>
                </c:pt>
                <c:pt idx="1">
                  <c:v>Total Vendido</c:v>
                </c:pt>
                <c:pt idx="2">
                  <c:v>Ganancia Total</c:v>
                </c:pt>
              </c:strCache>
            </c:strRef>
          </c:cat>
          <c:val>
            <c:numRef>
              <c:f>Resumen!$B$2:$B$4</c:f>
              <c:numCache>
                <c:formatCode>General</c:formatCode>
                <c:ptCount val="3"/>
                <c:pt idx="0">
                  <c:v>373900</c:v>
                </c:pt>
                <c:pt idx="1">
                  <c:v>191600</c:v>
                </c:pt>
                <c:pt idx="2">
                  <c:v>-182300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D-4E3A-A509-05469F1FA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workbookViewId="0">
      <selection activeCell="D12" sqref="D12"/>
    </sheetView>
  </sheetViews>
  <sheetFormatPr baseColWidth="10" defaultColWidth="8.88671875" defaultRowHeight="13.8" x14ac:dyDescent="0.25"/>
  <cols>
    <col min="1" max="5" width="24" style="4" customWidth="1"/>
    <col min="6" max="16384" width="8.88671875" style="3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6">
        <v>46156</v>
      </c>
      <c r="B2" s="7" t="s">
        <v>23</v>
      </c>
      <c r="C2" s="7">
        <v>8</v>
      </c>
      <c r="D2" s="7">
        <v>19000</v>
      </c>
      <c r="E2" s="7">
        <v>19000</v>
      </c>
    </row>
    <row r="3" spans="1:5" x14ac:dyDescent="0.25">
      <c r="A3" s="7"/>
      <c r="B3" s="7" t="s">
        <v>22</v>
      </c>
      <c r="C3" s="7">
        <v>6</v>
      </c>
      <c r="D3" s="7">
        <v>13500</v>
      </c>
      <c r="E3" s="7">
        <v>13500</v>
      </c>
    </row>
    <row r="4" spans="1:5" x14ac:dyDescent="0.25">
      <c r="A4" s="7"/>
      <c r="B4" s="7" t="s">
        <v>24</v>
      </c>
      <c r="C4" s="7">
        <v>8</v>
      </c>
      <c r="D4" s="7">
        <v>6500</v>
      </c>
      <c r="E4" s="7">
        <f t="shared" ref="E2:E33" si="0">C4*D4</f>
        <v>52000</v>
      </c>
    </row>
    <row r="5" spans="1:5" x14ac:dyDescent="0.25">
      <c r="A5" s="7"/>
      <c r="B5" s="7" t="s">
        <v>25</v>
      </c>
      <c r="C5" s="7">
        <v>4</v>
      </c>
      <c r="D5" s="7">
        <v>9000</v>
      </c>
      <c r="E5" s="7">
        <f t="shared" si="0"/>
        <v>36000</v>
      </c>
    </row>
    <row r="6" spans="1:5" x14ac:dyDescent="0.25">
      <c r="A6" s="7"/>
      <c r="B6" s="7" t="s">
        <v>26</v>
      </c>
      <c r="C6" s="7">
        <v>10</v>
      </c>
      <c r="D6" s="7">
        <v>1700</v>
      </c>
      <c r="E6" s="7">
        <f t="shared" si="0"/>
        <v>17000</v>
      </c>
    </row>
    <row r="7" spans="1:5" x14ac:dyDescent="0.25">
      <c r="A7" s="7"/>
      <c r="B7" s="7" t="s">
        <v>27</v>
      </c>
      <c r="C7" s="7">
        <v>6</v>
      </c>
      <c r="D7" s="7">
        <v>10000</v>
      </c>
      <c r="E7" s="7">
        <f t="shared" si="0"/>
        <v>60000</v>
      </c>
    </row>
    <row r="8" spans="1:5" x14ac:dyDescent="0.25">
      <c r="A8" s="7"/>
      <c r="B8" s="7" t="s">
        <v>28</v>
      </c>
      <c r="C8" s="7">
        <v>4</v>
      </c>
      <c r="D8" s="7">
        <v>9000</v>
      </c>
      <c r="E8" s="7">
        <f t="shared" si="0"/>
        <v>36000</v>
      </c>
    </row>
    <row r="9" spans="1:5" x14ac:dyDescent="0.25">
      <c r="A9" s="7"/>
      <c r="B9" s="7" t="s">
        <v>29</v>
      </c>
      <c r="C9" s="7">
        <v>4</v>
      </c>
      <c r="D9" s="7">
        <v>9000</v>
      </c>
      <c r="E9" s="7">
        <f t="shared" si="0"/>
        <v>36000</v>
      </c>
    </row>
    <row r="10" spans="1:5" x14ac:dyDescent="0.25">
      <c r="A10" s="7"/>
      <c r="B10" s="7" t="s">
        <v>30</v>
      </c>
      <c r="C10" s="7">
        <v>3</v>
      </c>
      <c r="D10" s="7">
        <v>7500</v>
      </c>
      <c r="E10" s="7">
        <f t="shared" si="0"/>
        <v>22500</v>
      </c>
    </row>
    <row r="11" spans="1:5" x14ac:dyDescent="0.25">
      <c r="A11" s="7"/>
      <c r="B11" s="7" t="s">
        <v>38</v>
      </c>
      <c r="C11" s="7">
        <v>3</v>
      </c>
      <c r="D11" s="7">
        <v>8000</v>
      </c>
      <c r="E11" s="7">
        <f t="shared" si="0"/>
        <v>24000</v>
      </c>
    </row>
    <row r="12" spans="1:5" x14ac:dyDescent="0.25">
      <c r="A12" s="7"/>
      <c r="B12" s="7" t="s">
        <v>32</v>
      </c>
      <c r="C12" s="7">
        <v>4</v>
      </c>
      <c r="D12" s="7">
        <v>1000</v>
      </c>
      <c r="E12" s="7">
        <f t="shared" si="0"/>
        <v>4000</v>
      </c>
    </row>
    <row r="13" spans="1:5" x14ac:dyDescent="0.25">
      <c r="A13" s="7"/>
      <c r="B13" s="7" t="s">
        <v>33</v>
      </c>
      <c r="C13" s="7">
        <v>4</v>
      </c>
      <c r="D13" s="7">
        <v>800</v>
      </c>
      <c r="E13" s="7">
        <f t="shared" si="0"/>
        <v>3200</v>
      </c>
    </row>
    <row r="14" spans="1:5" x14ac:dyDescent="0.25">
      <c r="A14" s="7"/>
      <c r="B14" s="7" t="s">
        <v>34</v>
      </c>
      <c r="C14" s="7">
        <v>3</v>
      </c>
      <c r="D14" s="7">
        <v>1700</v>
      </c>
      <c r="E14" s="7">
        <f t="shared" si="0"/>
        <v>5100</v>
      </c>
    </row>
    <row r="15" spans="1:5" x14ac:dyDescent="0.25">
      <c r="A15" s="7"/>
      <c r="B15" s="7" t="s">
        <v>35</v>
      </c>
      <c r="C15" s="7">
        <v>3</v>
      </c>
      <c r="D15" s="7">
        <v>1200</v>
      </c>
      <c r="E15" s="7">
        <f t="shared" si="0"/>
        <v>3600</v>
      </c>
    </row>
    <row r="16" spans="1:5" x14ac:dyDescent="0.25">
      <c r="A16" s="7"/>
      <c r="B16" s="7" t="s">
        <v>36</v>
      </c>
      <c r="C16" s="7">
        <v>1</v>
      </c>
      <c r="D16" s="7">
        <v>17000</v>
      </c>
      <c r="E16" s="7">
        <f t="shared" si="0"/>
        <v>17000</v>
      </c>
    </row>
    <row r="17" spans="1:5" x14ac:dyDescent="0.25">
      <c r="A17" s="7"/>
      <c r="B17" s="7" t="s">
        <v>37</v>
      </c>
      <c r="C17" s="7">
        <v>1</v>
      </c>
      <c r="D17" s="7">
        <v>25000</v>
      </c>
      <c r="E17" s="7">
        <f t="shared" si="0"/>
        <v>25000</v>
      </c>
    </row>
    <row r="18" spans="1:5" x14ac:dyDescent="0.25">
      <c r="A18" s="7"/>
      <c r="B18" s="7"/>
      <c r="C18" s="7"/>
      <c r="D18" s="7"/>
      <c r="E18" s="7">
        <f t="shared" si="0"/>
        <v>0</v>
      </c>
    </row>
    <row r="19" spans="1:5" x14ac:dyDescent="0.25">
      <c r="A19" s="7"/>
      <c r="B19" s="7"/>
      <c r="C19" s="7"/>
      <c r="D19" s="7"/>
      <c r="E19" s="7">
        <f t="shared" si="0"/>
        <v>0</v>
      </c>
    </row>
    <row r="20" spans="1:5" x14ac:dyDescent="0.25">
      <c r="A20" s="7"/>
      <c r="B20" s="7"/>
      <c r="C20" s="7"/>
      <c r="D20" s="7"/>
      <c r="E20" s="7">
        <f t="shared" si="0"/>
        <v>0</v>
      </c>
    </row>
    <row r="21" spans="1:5" x14ac:dyDescent="0.25">
      <c r="A21" s="7"/>
      <c r="B21" s="7"/>
      <c r="C21" s="7"/>
      <c r="D21" s="7"/>
      <c r="E21" s="7">
        <f t="shared" si="0"/>
        <v>0</v>
      </c>
    </row>
    <row r="22" spans="1:5" x14ac:dyDescent="0.25">
      <c r="A22" s="7"/>
      <c r="B22" s="7"/>
      <c r="C22" s="7"/>
      <c r="D22" s="7"/>
      <c r="E22" s="7">
        <f t="shared" si="0"/>
        <v>0</v>
      </c>
    </row>
    <row r="23" spans="1:5" x14ac:dyDescent="0.25">
      <c r="A23" s="7"/>
      <c r="B23" s="7"/>
      <c r="C23" s="7"/>
      <c r="D23" s="7"/>
      <c r="E23" s="7">
        <f t="shared" si="0"/>
        <v>0</v>
      </c>
    </row>
    <row r="24" spans="1:5" x14ac:dyDescent="0.25">
      <c r="A24" s="7"/>
      <c r="B24" s="7"/>
      <c r="C24" s="7"/>
      <c r="D24" s="7"/>
      <c r="E24" s="7">
        <f t="shared" si="0"/>
        <v>0</v>
      </c>
    </row>
    <row r="25" spans="1:5" x14ac:dyDescent="0.25">
      <c r="A25" s="7"/>
      <c r="B25" s="7"/>
      <c r="C25" s="7"/>
      <c r="D25" s="7"/>
      <c r="E25" s="7">
        <f t="shared" si="0"/>
        <v>0</v>
      </c>
    </row>
    <row r="26" spans="1:5" x14ac:dyDescent="0.25">
      <c r="A26" s="7"/>
      <c r="B26" s="7"/>
      <c r="C26" s="7"/>
      <c r="D26" s="7"/>
      <c r="E26" s="7">
        <f t="shared" si="0"/>
        <v>0</v>
      </c>
    </row>
    <row r="27" spans="1:5" x14ac:dyDescent="0.25">
      <c r="A27" s="7"/>
      <c r="B27" s="7"/>
      <c r="C27" s="7"/>
      <c r="D27" s="7"/>
      <c r="E27" s="7">
        <f t="shared" si="0"/>
        <v>0</v>
      </c>
    </row>
    <row r="28" spans="1:5" x14ac:dyDescent="0.25">
      <c r="A28" s="7"/>
      <c r="B28" s="7"/>
      <c r="C28" s="7"/>
      <c r="D28" s="7"/>
      <c r="E28" s="7">
        <f t="shared" si="0"/>
        <v>0</v>
      </c>
    </row>
    <row r="29" spans="1:5" x14ac:dyDescent="0.25">
      <c r="A29" s="7"/>
      <c r="B29" s="7"/>
      <c r="C29" s="7"/>
      <c r="D29" s="7"/>
      <c r="E29" s="7">
        <f t="shared" si="0"/>
        <v>0</v>
      </c>
    </row>
    <row r="30" spans="1:5" x14ac:dyDescent="0.25">
      <c r="A30" s="7"/>
      <c r="B30" s="7"/>
      <c r="C30" s="7"/>
      <c r="D30" s="7"/>
      <c r="E30" s="7">
        <f t="shared" si="0"/>
        <v>0</v>
      </c>
    </row>
    <row r="31" spans="1:5" x14ac:dyDescent="0.25">
      <c r="A31" s="7"/>
      <c r="B31" s="7"/>
      <c r="C31" s="7"/>
      <c r="D31" s="7"/>
      <c r="E31" s="7">
        <f t="shared" si="0"/>
        <v>0</v>
      </c>
    </row>
    <row r="32" spans="1:5" x14ac:dyDescent="0.25">
      <c r="A32" s="7"/>
      <c r="B32" s="7"/>
      <c r="C32" s="7"/>
      <c r="D32" s="7"/>
      <c r="E32" s="7">
        <f t="shared" si="0"/>
        <v>0</v>
      </c>
    </row>
    <row r="33" spans="1:5" x14ac:dyDescent="0.25">
      <c r="A33" s="7"/>
      <c r="B33" s="7"/>
      <c r="C33" s="7"/>
      <c r="D33" s="7"/>
      <c r="E33" s="7">
        <f t="shared" si="0"/>
        <v>0</v>
      </c>
    </row>
    <row r="34" spans="1:5" x14ac:dyDescent="0.25">
      <c r="A34" s="7"/>
      <c r="B34" s="7"/>
      <c r="C34" s="7"/>
      <c r="D34" s="7"/>
      <c r="E34" s="7">
        <f t="shared" ref="E34:E65" si="1">C34*D34</f>
        <v>0</v>
      </c>
    </row>
    <row r="35" spans="1:5" x14ac:dyDescent="0.25">
      <c r="A35" s="7"/>
      <c r="B35" s="7"/>
      <c r="C35" s="7"/>
      <c r="D35" s="7"/>
      <c r="E35" s="7">
        <f t="shared" si="1"/>
        <v>0</v>
      </c>
    </row>
    <row r="36" spans="1:5" x14ac:dyDescent="0.25">
      <c r="A36" s="7"/>
      <c r="B36" s="7"/>
      <c r="C36" s="7"/>
      <c r="D36" s="7"/>
      <c r="E36" s="7">
        <f t="shared" si="1"/>
        <v>0</v>
      </c>
    </row>
    <row r="37" spans="1:5" x14ac:dyDescent="0.25">
      <c r="A37" s="7"/>
      <c r="B37" s="7"/>
      <c r="C37" s="7"/>
      <c r="D37" s="7"/>
      <c r="E37" s="7">
        <f t="shared" si="1"/>
        <v>0</v>
      </c>
    </row>
    <row r="38" spans="1:5" x14ac:dyDescent="0.25">
      <c r="A38" s="7"/>
      <c r="B38" s="7"/>
      <c r="C38" s="7"/>
      <c r="D38" s="7"/>
      <c r="E38" s="7">
        <f t="shared" si="1"/>
        <v>0</v>
      </c>
    </row>
    <row r="39" spans="1:5" x14ac:dyDescent="0.25">
      <c r="A39" s="7"/>
      <c r="B39" s="7"/>
      <c r="C39" s="7"/>
      <c r="D39" s="7"/>
      <c r="E39" s="7">
        <f t="shared" si="1"/>
        <v>0</v>
      </c>
    </row>
    <row r="40" spans="1:5" x14ac:dyDescent="0.25">
      <c r="A40" s="7"/>
      <c r="B40" s="7"/>
      <c r="C40" s="7"/>
      <c r="D40" s="7"/>
      <c r="E40" s="7">
        <f t="shared" si="1"/>
        <v>0</v>
      </c>
    </row>
    <row r="41" spans="1:5" x14ac:dyDescent="0.25">
      <c r="A41" s="7"/>
      <c r="B41" s="7"/>
      <c r="C41" s="7"/>
      <c r="D41" s="7"/>
      <c r="E41" s="7">
        <f t="shared" si="1"/>
        <v>0</v>
      </c>
    </row>
    <row r="42" spans="1:5" x14ac:dyDescent="0.25">
      <c r="A42" s="7"/>
      <c r="B42" s="7"/>
      <c r="C42" s="7"/>
      <c r="D42" s="7"/>
      <c r="E42" s="7">
        <f t="shared" si="1"/>
        <v>0</v>
      </c>
    </row>
    <row r="43" spans="1:5" x14ac:dyDescent="0.25">
      <c r="A43" s="7"/>
      <c r="B43" s="7"/>
      <c r="C43" s="7"/>
      <c r="D43" s="7"/>
      <c r="E43" s="7">
        <f t="shared" si="1"/>
        <v>0</v>
      </c>
    </row>
    <row r="44" spans="1:5" x14ac:dyDescent="0.25">
      <c r="A44" s="7"/>
      <c r="B44" s="7"/>
      <c r="C44" s="7"/>
      <c r="D44" s="7"/>
      <c r="E44" s="7">
        <f t="shared" si="1"/>
        <v>0</v>
      </c>
    </row>
    <row r="45" spans="1:5" x14ac:dyDescent="0.25">
      <c r="A45" s="7"/>
      <c r="B45" s="7"/>
      <c r="C45" s="7"/>
      <c r="D45" s="7"/>
      <c r="E45" s="7">
        <f t="shared" si="1"/>
        <v>0</v>
      </c>
    </row>
    <row r="46" spans="1:5" x14ac:dyDescent="0.25">
      <c r="A46" s="7"/>
      <c r="B46" s="7"/>
      <c r="C46" s="7"/>
      <c r="D46" s="7"/>
      <c r="E46" s="7">
        <f t="shared" si="1"/>
        <v>0</v>
      </c>
    </row>
    <row r="47" spans="1:5" x14ac:dyDescent="0.25">
      <c r="A47" s="7"/>
      <c r="B47" s="7"/>
      <c r="C47" s="7"/>
      <c r="D47" s="7"/>
      <c r="E47" s="7">
        <f t="shared" si="1"/>
        <v>0</v>
      </c>
    </row>
    <row r="48" spans="1:5" x14ac:dyDescent="0.25">
      <c r="A48" s="7"/>
      <c r="B48" s="7"/>
      <c r="C48" s="7"/>
      <c r="D48" s="7"/>
      <c r="E48" s="7">
        <f t="shared" si="1"/>
        <v>0</v>
      </c>
    </row>
    <row r="49" spans="1:5" x14ac:dyDescent="0.25">
      <c r="A49" s="7"/>
      <c r="B49" s="7"/>
      <c r="C49" s="7"/>
      <c r="D49" s="7"/>
      <c r="E49" s="7">
        <f t="shared" si="1"/>
        <v>0</v>
      </c>
    </row>
    <row r="50" spans="1:5" x14ac:dyDescent="0.25">
      <c r="A50" s="7"/>
      <c r="B50" s="7"/>
      <c r="C50" s="7"/>
      <c r="D50" s="7"/>
      <c r="E50" s="7">
        <f t="shared" si="1"/>
        <v>0</v>
      </c>
    </row>
    <row r="51" spans="1:5" x14ac:dyDescent="0.25">
      <c r="A51" s="7"/>
      <c r="B51" s="7"/>
      <c r="C51" s="7"/>
      <c r="D51" s="7"/>
      <c r="E51" s="7">
        <f t="shared" si="1"/>
        <v>0</v>
      </c>
    </row>
    <row r="52" spans="1:5" x14ac:dyDescent="0.25">
      <c r="A52" s="7"/>
      <c r="B52" s="7"/>
      <c r="C52" s="7"/>
      <c r="D52" s="7"/>
      <c r="E52" s="7">
        <f t="shared" si="1"/>
        <v>0</v>
      </c>
    </row>
    <row r="53" spans="1:5" x14ac:dyDescent="0.25">
      <c r="A53" s="7"/>
      <c r="B53" s="7"/>
      <c r="C53" s="7"/>
      <c r="D53" s="7"/>
      <c r="E53" s="7">
        <f t="shared" si="1"/>
        <v>0</v>
      </c>
    </row>
    <row r="54" spans="1:5" x14ac:dyDescent="0.25">
      <c r="A54" s="7"/>
      <c r="B54" s="7"/>
      <c r="C54" s="7"/>
      <c r="D54" s="7"/>
      <c r="E54" s="7">
        <f t="shared" si="1"/>
        <v>0</v>
      </c>
    </row>
    <row r="55" spans="1:5" x14ac:dyDescent="0.25">
      <c r="A55" s="7"/>
      <c r="B55" s="7"/>
      <c r="C55" s="7"/>
      <c r="D55" s="7"/>
      <c r="E55" s="7">
        <f t="shared" si="1"/>
        <v>0</v>
      </c>
    </row>
    <row r="56" spans="1:5" x14ac:dyDescent="0.25">
      <c r="A56" s="7"/>
      <c r="B56" s="7"/>
      <c r="C56" s="7"/>
      <c r="D56" s="7"/>
      <c r="E56" s="7">
        <f t="shared" si="1"/>
        <v>0</v>
      </c>
    </row>
    <row r="57" spans="1:5" x14ac:dyDescent="0.25">
      <c r="A57" s="7"/>
      <c r="B57" s="7"/>
      <c r="C57" s="7"/>
      <c r="D57" s="7"/>
      <c r="E57" s="7">
        <f t="shared" si="1"/>
        <v>0</v>
      </c>
    </row>
    <row r="58" spans="1:5" x14ac:dyDescent="0.25">
      <c r="A58" s="7"/>
      <c r="B58" s="7"/>
      <c r="C58" s="7"/>
      <c r="D58" s="7"/>
      <c r="E58" s="7">
        <f t="shared" si="1"/>
        <v>0</v>
      </c>
    </row>
    <row r="59" spans="1:5" x14ac:dyDescent="0.25">
      <c r="A59" s="7"/>
      <c r="B59" s="7"/>
      <c r="C59" s="7"/>
      <c r="D59" s="7"/>
      <c r="E59" s="7">
        <f t="shared" si="1"/>
        <v>0</v>
      </c>
    </row>
    <row r="60" spans="1:5" x14ac:dyDescent="0.25">
      <c r="A60" s="7"/>
      <c r="B60" s="7"/>
      <c r="C60" s="7"/>
      <c r="D60" s="7"/>
      <c r="E60" s="7">
        <f t="shared" si="1"/>
        <v>0</v>
      </c>
    </row>
    <row r="61" spans="1:5" x14ac:dyDescent="0.25">
      <c r="A61" s="7"/>
      <c r="B61" s="7"/>
      <c r="C61" s="7"/>
      <c r="D61" s="7"/>
      <c r="E61" s="7">
        <f t="shared" si="1"/>
        <v>0</v>
      </c>
    </row>
    <row r="62" spans="1:5" x14ac:dyDescent="0.25">
      <c r="A62" s="7"/>
      <c r="B62" s="7"/>
      <c r="C62" s="7"/>
      <c r="D62" s="7"/>
      <c r="E62" s="7">
        <f t="shared" si="1"/>
        <v>0</v>
      </c>
    </row>
    <row r="63" spans="1:5" x14ac:dyDescent="0.25">
      <c r="A63" s="7"/>
      <c r="B63" s="7"/>
      <c r="C63" s="7"/>
      <c r="D63" s="7"/>
      <c r="E63" s="7">
        <f t="shared" si="1"/>
        <v>0</v>
      </c>
    </row>
    <row r="64" spans="1:5" x14ac:dyDescent="0.25">
      <c r="A64" s="7"/>
      <c r="B64" s="7"/>
      <c r="C64" s="7"/>
      <c r="D64" s="7"/>
      <c r="E64" s="7">
        <f t="shared" si="1"/>
        <v>0</v>
      </c>
    </row>
    <row r="65" spans="1:5" x14ac:dyDescent="0.25">
      <c r="A65" s="7"/>
      <c r="B65" s="7"/>
      <c r="C65" s="7"/>
      <c r="D65" s="7"/>
      <c r="E65" s="7">
        <f t="shared" si="1"/>
        <v>0</v>
      </c>
    </row>
    <row r="66" spans="1:5" x14ac:dyDescent="0.25">
      <c r="A66" s="7"/>
      <c r="B66" s="7"/>
      <c r="C66" s="7"/>
      <c r="D66" s="7"/>
      <c r="E66" s="7">
        <f t="shared" ref="E66:E97" si="2">C66*D66</f>
        <v>0</v>
      </c>
    </row>
    <row r="67" spans="1:5" x14ac:dyDescent="0.25">
      <c r="A67" s="7"/>
      <c r="B67" s="7"/>
      <c r="C67" s="7"/>
      <c r="D67" s="7"/>
      <c r="E67" s="7">
        <f t="shared" si="2"/>
        <v>0</v>
      </c>
    </row>
    <row r="68" spans="1:5" x14ac:dyDescent="0.25">
      <c r="A68" s="7"/>
      <c r="B68" s="7"/>
      <c r="C68" s="7"/>
      <c r="D68" s="7"/>
      <c r="E68" s="7">
        <f t="shared" si="2"/>
        <v>0</v>
      </c>
    </row>
    <row r="69" spans="1:5" x14ac:dyDescent="0.25">
      <c r="A69" s="7"/>
      <c r="B69" s="7"/>
      <c r="C69" s="7"/>
      <c r="D69" s="7"/>
      <c r="E69" s="7">
        <f t="shared" si="2"/>
        <v>0</v>
      </c>
    </row>
    <row r="70" spans="1:5" x14ac:dyDescent="0.25">
      <c r="A70" s="7"/>
      <c r="B70" s="7"/>
      <c r="C70" s="7"/>
      <c r="D70" s="7"/>
      <c r="E70" s="7">
        <f t="shared" si="2"/>
        <v>0</v>
      </c>
    </row>
    <row r="71" spans="1:5" x14ac:dyDescent="0.25">
      <c r="A71" s="7"/>
      <c r="B71" s="7"/>
      <c r="C71" s="7"/>
      <c r="D71" s="7"/>
      <c r="E71" s="7">
        <f t="shared" si="2"/>
        <v>0</v>
      </c>
    </row>
    <row r="72" spans="1:5" x14ac:dyDescent="0.25">
      <c r="A72" s="7"/>
      <c r="B72" s="7"/>
      <c r="C72" s="7"/>
      <c r="D72" s="7"/>
      <c r="E72" s="7">
        <f t="shared" si="2"/>
        <v>0</v>
      </c>
    </row>
    <row r="73" spans="1:5" x14ac:dyDescent="0.25">
      <c r="A73" s="7"/>
      <c r="B73" s="7"/>
      <c r="C73" s="7"/>
      <c r="D73" s="7"/>
      <c r="E73" s="7">
        <f t="shared" si="2"/>
        <v>0</v>
      </c>
    </row>
    <row r="74" spans="1:5" x14ac:dyDescent="0.25">
      <c r="A74" s="7"/>
      <c r="B74" s="7"/>
      <c r="C74" s="7"/>
      <c r="D74" s="7"/>
      <c r="E74" s="7">
        <f t="shared" si="2"/>
        <v>0</v>
      </c>
    </row>
    <row r="75" spans="1:5" x14ac:dyDescent="0.25">
      <c r="A75" s="7"/>
      <c r="B75" s="7"/>
      <c r="C75" s="7"/>
      <c r="D75" s="7"/>
      <c r="E75" s="7">
        <f t="shared" si="2"/>
        <v>0</v>
      </c>
    </row>
    <row r="76" spans="1:5" x14ac:dyDescent="0.25">
      <c r="A76" s="7"/>
      <c r="B76" s="7"/>
      <c r="C76" s="7"/>
      <c r="D76" s="7"/>
      <c r="E76" s="7">
        <f t="shared" si="2"/>
        <v>0</v>
      </c>
    </row>
    <row r="77" spans="1:5" x14ac:dyDescent="0.25">
      <c r="A77" s="7"/>
      <c r="B77" s="7"/>
      <c r="C77" s="7"/>
      <c r="D77" s="7"/>
      <c r="E77" s="7">
        <f t="shared" si="2"/>
        <v>0</v>
      </c>
    </row>
    <row r="78" spans="1:5" x14ac:dyDescent="0.25">
      <c r="A78" s="7"/>
      <c r="B78" s="7"/>
      <c r="C78" s="7"/>
      <c r="D78" s="7"/>
      <c r="E78" s="7">
        <f t="shared" si="2"/>
        <v>0</v>
      </c>
    </row>
    <row r="79" spans="1:5" x14ac:dyDescent="0.25">
      <c r="A79" s="7"/>
      <c r="B79" s="7"/>
      <c r="C79" s="7"/>
      <c r="D79" s="7"/>
      <c r="E79" s="7">
        <f t="shared" si="2"/>
        <v>0</v>
      </c>
    </row>
    <row r="80" spans="1:5" x14ac:dyDescent="0.25">
      <c r="A80" s="7"/>
      <c r="B80" s="7"/>
      <c r="C80" s="7"/>
      <c r="D80" s="7"/>
      <c r="E80" s="7">
        <f t="shared" si="2"/>
        <v>0</v>
      </c>
    </row>
    <row r="81" spans="1:5" x14ac:dyDescent="0.25">
      <c r="A81" s="7"/>
      <c r="B81" s="7"/>
      <c r="C81" s="7"/>
      <c r="D81" s="7"/>
      <c r="E81" s="7">
        <f t="shared" si="2"/>
        <v>0</v>
      </c>
    </row>
    <row r="82" spans="1:5" x14ac:dyDescent="0.25">
      <c r="A82" s="7"/>
      <c r="B82" s="7"/>
      <c r="C82" s="7"/>
      <c r="D82" s="7"/>
      <c r="E82" s="7">
        <f t="shared" si="2"/>
        <v>0</v>
      </c>
    </row>
    <row r="83" spans="1:5" x14ac:dyDescent="0.25">
      <c r="A83" s="7"/>
      <c r="B83" s="7"/>
      <c r="C83" s="7"/>
      <c r="D83" s="7"/>
      <c r="E83" s="7">
        <f t="shared" si="2"/>
        <v>0</v>
      </c>
    </row>
    <row r="84" spans="1:5" x14ac:dyDescent="0.25">
      <c r="A84" s="7"/>
      <c r="B84" s="7"/>
      <c r="C84" s="7"/>
      <c r="D84" s="7"/>
      <c r="E84" s="7">
        <f t="shared" si="2"/>
        <v>0</v>
      </c>
    </row>
    <row r="85" spans="1:5" x14ac:dyDescent="0.25">
      <c r="A85" s="7"/>
      <c r="B85" s="7"/>
      <c r="C85" s="7"/>
      <c r="D85" s="7"/>
      <c r="E85" s="7">
        <f t="shared" si="2"/>
        <v>0</v>
      </c>
    </row>
    <row r="86" spans="1:5" x14ac:dyDescent="0.25">
      <c r="A86" s="7"/>
      <c r="B86" s="7"/>
      <c r="C86" s="7"/>
      <c r="D86" s="7"/>
      <c r="E86" s="7">
        <f t="shared" si="2"/>
        <v>0</v>
      </c>
    </row>
    <row r="87" spans="1:5" x14ac:dyDescent="0.25">
      <c r="A87" s="7"/>
      <c r="B87" s="7"/>
      <c r="C87" s="7"/>
      <c r="D87" s="7"/>
      <c r="E87" s="7">
        <f t="shared" si="2"/>
        <v>0</v>
      </c>
    </row>
    <row r="88" spans="1:5" x14ac:dyDescent="0.25">
      <c r="A88" s="7"/>
      <c r="B88" s="7"/>
      <c r="C88" s="7"/>
      <c r="D88" s="7"/>
      <c r="E88" s="7">
        <f t="shared" si="2"/>
        <v>0</v>
      </c>
    </row>
    <row r="89" spans="1:5" x14ac:dyDescent="0.25">
      <c r="A89" s="7"/>
      <c r="B89" s="7"/>
      <c r="C89" s="7"/>
      <c r="D89" s="7"/>
      <c r="E89" s="7">
        <f t="shared" si="2"/>
        <v>0</v>
      </c>
    </row>
    <row r="90" spans="1:5" x14ac:dyDescent="0.25">
      <c r="A90" s="7"/>
      <c r="B90" s="7"/>
      <c r="C90" s="7"/>
      <c r="D90" s="7"/>
      <c r="E90" s="7">
        <f t="shared" si="2"/>
        <v>0</v>
      </c>
    </row>
    <row r="91" spans="1:5" x14ac:dyDescent="0.25">
      <c r="A91" s="7"/>
      <c r="B91" s="7"/>
      <c r="C91" s="7"/>
      <c r="D91" s="7"/>
      <c r="E91" s="7">
        <f t="shared" si="2"/>
        <v>0</v>
      </c>
    </row>
    <row r="92" spans="1:5" x14ac:dyDescent="0.25">
      <c r="A92" s="7"/>
      <c r="B92" s="7"/>
      <c r="C92" s="7"/>
      <c r="D92" s="7"/>
      <c r="E92" s="7">
        <f t="shared" si="2"/>
        <v>0</v>
      </c>
    </row>
    <row r="93" spans="1:5" x14ac:dyDescent="0.25">
      <c r="A93" s="7"/>
      <c r="B93" s="7"/>
      <c r="C93" s="7"/>
      <c r="D93" s="7"/>
      <c r="E93" s="7">
        <f t="shared" si="2"/>
        <v>0</v>
      </c>
    </row>
    <row r="94" spans="1:5" x14ac:dyDescent="0.25">
      <c r="A94" s="7"/>
      <c r="B94" s="7"/>
      <c r="C94" s="7"/>
      <c r="D94" s="7"/>
      <c r="E94" s="7">
        <f t="shared" si="2"/>
        <v>0</v>
      </c>
    </row>
    <row r="95" spans="1:5" x14ac:dyDescent="0.25">
      <c r="A95" s="7"/>
      <c r="B95" s="7"/>
      <c r="C95" s="7"/>
      <c r="D95" s="7"/>
      <c r="E95" s="7">
        <f t="shared" si="2"/>
        <v>0</v>
      </c>
    </row>
    <row r="96" spans="1:5" x14ac:dyDescent="0.25">
      <c r="A96" s="7"/>
      <c r="B96" s="7"/>
      <c r="C96" s="7"/>
      <c r="D96" s="7"/>
      <c r="E96" s="7">
        <f t="shared" si="2"/>
        <v>0</v>
      </c>
    </row>
    <row r="97" spans="1:5" x14ac:dyDescent="0.25">
      <c r="A97" s="7"/>
      <c r="B97" s="7"/>
      <c r="C97" s="7"/>
      <c r="D97" s="7"/>
      <c r="E97" s="7">
        <f t="shared" si="2"/>
        <v>0</v>
      </c>
    </row>
    <row r="98" spans="1:5" x14ac:dyDescent="0.25">
      <c r="A98" s="7"/>
      <c r="B98" s="7"/>
      <c r="C98" s="7"/>
      <c r="D98" s="7"/>
      <c r="E98" s="7">
        <f t="shared" ref="E98:E129" si="3">C98*D98</f>
        <v>0</v>
      </c>
    </row>
    <row r="99" spans="1:5" x14ac:dyDescent="0.25">
      <c r="A99" s="7"/>
      <c r="B99" s="7"/>
      <c r="C99" s="7"/>
      <c r="D99" s="7"/>
      <c r="E99" s="7">
        <f t="shared" si="3"/>
        <v>0</v>
      </c>
    </row>
    <row r="100" spans="1:5" x14ac:dyDescent="0.25">
      <c r="A100" s="7"/>
      <c r="B100" s="7"/>
      <c r="C100" s="7"/>
      <c r="D100" s="7"/>
      <c r="E100" s="7">
        <f t="shared" si="3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workbookViewId="0">
      <selection activeCell="G14" sqref="A1:XFD1048576"/>
    </sheetView>
  </sheetViews>
  <sheetFormatPr baseColWidth="10" defaultColWidth="8.88671875" defaultRowHeight="13.8" x14ac:dyDescent="0.25"/>
  <cols>
    <col min="1" max="1" width="24" style="13" customWidth="1"/>
    <col min="2" max="2" width="24" style="15" customWidth="1"/>
    <col min="3" max="3" width="24" style="16" customWidth="1"/>
    <col min="4" max="4" width="24" style="17" customWidth="1"/>
    <col min="5" max="5" width="24" style="18" customWidth="1"/>
    <col min="6" max="16384" width="8.88671875" style="13"/>
  </cols>
  <sheetData>
    <row r="1" spans="1:5" x14ac:dyDescent="0.25">
      <c r="A1" s="8" t="s">
        <v>0</v>
      </c>
      <c r="B1" s="9" t="s">
        <v>1</v>
      </c>
      <c r="C1" s="10" t="s">
        <v>5</v>
      </c>
      <c r="D1" s="11" t="s">
        <v>6</v>
      </c>
      <c r="E1" s="12" t="s">
        <v>7</v>
      </c>
    </row>
    <row r="2" spans="1:5" x14ac:dyDescent="0.25">
      <c r="A2" s="14">
        <v>46157</v>
      </c>
      <c r="B2" s="15" t="s">
        <v>23</v>
      </c>
      <c r="C2" s="16">
        <v>8</v>
      </c>
      <c r="D2" s="17">
        <v>3200</v>
      </c>
      <c r="E2" s="18">
        <f t="shared" ref="E2:E33" si="0">C2*D2</f>
        <v>25600</v>
      </c>
    </row>
    <row r="3" spans="1:5" x14ac:dyDescent="0.25">
      <c r="B3" s="15" t="s">
        <v>22</v>
      </c>
      <c r="C3" s="16">
        <v>6</v>
      </c>
      <c r="D3" s="17">
        <v>3000</v>
      </c>
      <c r="E3" s="18">
        <f t="shared" si="0"/>
        <v>18000</v>
      </c>
    </row>
    <row r="4" spans="1:5" x14ac:dyDescent="0.25">
      <c r="B4" s="15" t="s">
        <v>24</v>
      </c>
      <c r="C4" s="16">
        <v>5</v>
      </c>
      <c r="D4" s="17">
        <v>10000</v>
      </c>
      <c r="E4" s="18">
        <f t="shared" si="0"/>
        <v>50000</v>
      </c>
    </row>
    <row r="5" spans="1:5" x14ac:dyDescent="0.25">
      <c r="B5" s="15" t="s">
        <v>25</v>
      </c>
      <c r="C5" s="16">
        <v>1</v>
      </c>
      <c r="D5" s="17">
        <v>18000</v>
      </c>
      <c r="E5" s="18">
        <f t="shared" si="0"/>
        <v>18000</v>
      </c>
    </row>
    <row r="6" spans="1:5" x14ac:dyDescent="0.25">
      <c r="B6" s="15" t="s">
        <v>26</v>
      </c>
      <c r="C6" s="16">
        <v>1</v>
      </c>
      <c r="D6" s="17">
        <v>4000</v>
      </c>
      <c r="E6" s="18">
        <f t="shared" si="0"/>
        <v>4000</v>
      </c>
    </row>
    <row r="7" spans="1:5" x14ac:dyDescent="0.25">
      <c r="B7" s="15" t="s">
        <v>27</v>
      </c>
      <c r="C7" s="16">
        <v>1</v>
      </c>
      <c r="D7" s="17">
        <v>16000</v>
      </c>
      <c r="E7" s="18">
        <f t="shared" si="0"/>
        <v>16000</v>
      </c>
    </row>
    <row r="8" spans="1:5" x14ac:dyDescent="0.25">
      <c r="B8" s="15" t="s">
        <v>28</v>
      </c>
      <c r="D8" s="17">
        <v>20000</v>
      </c>
      <c r="E8" s="18">
        <f t="shared" si="0"/>
        <v>0</v>
      </c>
    </row>
    <row r="9" spans="1:5" x14ac:dyDescent="0.25">
      <c r="B9" s="15" t="s">
        <v>29</v>
      </c>
      <c r="D9" s="17">
        <v>18000</v>
      </c>
      <c r="E9" s="18">
        <f t="shared" si="0"/>
        <v>0</v>
      </c>
    </row>
    <row r="10" spans="1:5" x14ac:dyDescent="0.25">
      <c r="B10" s="15" t="s">
        <v>30</v>
      </c>
      <c r="D10" s="17">
        <v>13000</v>
      </c>
      <c r="E10" s="18">
        <f t="shared" si="0"/>
        <v>0</v>
      </c>
    </row>
    <row r="11" spans="1:5" x14ac:dyDescent="0.25">
      <c r="B11" s="15" t="s">
        <v>31</v>
      </c>
      <c r="D11" s="17">
        <v>15000</v>
      </c>
      <c r="E11" s="18">
        <f t="shared" si="0"/>
        <v>0</v>
      </c>
    </row>
    <row r="12" spans="1:5" x14ac:dyDescent="0.25">
      <c r="B12" s="15" t="s">
        <v>32</v>
      </c>
      <c r="C12" s="16">
        <v>1</v>
      </c>
      <c r="D12" s="17">
        <v>3000</v>
      </c>
      <c r="E12" s="18">
        <f t="shared" si="0"/>
        <v>3000</v>
      </c>
    </row>
    <row r="13" spans="1:5" x14ac:dyDescent="0.25">
      <c r="B13" s="15" t="s">
        <v>33</v>
      </c>
      <c r="C13" s="16">
        <v>1</v>
      </c>
      <c r="D13" s="17">
        <v>2000</v>
      </c>
      <c r="E13" s="18">
        <f t="shared" si="0"/>
        <v>2000</v>
      </c>
    </row>
    <row r="14" spans="1:5" x14ac:dyDescent="0.25">
      <c r="B14" s="15" t="s">
        <v>34</v>
      </c>
      <c r="D14" s="17">
        <v>5000</v>
      </c>
      <c r="E14" s="18">
        <f t="shared" si="0"/>
        <v>0</v>
      </c>
    </row>
    <row r="15" spans="1:5" x14ac:dyDescent="0.25">
      <c r="B15" s="15" t="s">
        <v>35</v>
      </c>
      <c r="D15" s="17">
        <v>5000</v>
      </c>
      <c r="E15" s="18">
        <f t="shared" si="0"/>
        <v>0</v>
      </c>
    </row>
    <row r="16" spans="1:5" x14ac:dyDescent="0.25">
      <c r="B16" s="15" t="s">
        <v>36</v>
      </c>
      <c r="C16" s="16">
        <v>1</v>
      </c>
      <c r="D16" s="17">
        <v>20000</v>
      </c>
      <c r="E16" s="18">
        <f t="shared" si="0"/>
        <v>20000</v>
      </c>
    </row>
    <row r="17" spans="2:5" x14ac:dyDescent="0.25">
      <c r="B17" s="15" t="s">
        <v>37</v>
      </c>
      <c r="C17" s="16">
        <v>1</v>
      </c>
      <c r="D17" s="17">
        <v>35000</v>
      </c>
      <c r="E17" s="18">
        <f t="shared" si="0"/>
        <v>35000</v>
      </c>
    </row>
    <row r="18" spans="2:5" x14ac:dyDescent="0.25">
      <c r="E18" s="18">
        <f t="shared" si="0"/>
        <v>0</v>
      </c>
    </row>
    <row r="19" spans="2:5" x14ac:dyDescent="0.25">
      <c r="E19" s="18">
        <f t="shared" si="0"/>
        <v>0</v>
      </c>
    </row>
    <row r="20" spans="2:5" x14ac:dyDescent="0.25">
      <c r="E20" s="18">
        <f t="shared" si="0"/>
        <v>0</v>
      </c>
    </row>
    <row r="21" spans="2:5" x14ac:dyDescent="0.25">
      <c r="E21" s="18">
        <f t="shared" si="0"/>
        <v>0</v>
      </c>
    </row>
    <row r="22" spans="2:5" x14ac:dyDescent="0.25">
      <c r="E22" s="18">
        <f t="shared" si="0"/>
        <v>0</v>
      </c>
    </row>
    <row r="23" spans="2:5" x14ac:dyDescent="0.25">
      <c r="E23" s="18">
        <f t="shared" si="0"/>
        <v>0</v>
      </c>
    </row>
    <row r="24" spans="2:5" x14ac:dyDescent="0.25">
      <c r="E24" s="18">
        <f t="shared" si="0"/>
        <v>0</v>
      </c>
    </row>
    <row r="25" spans="2:5" x14ac:dyDescent="0.25">
      <c r="E25" s="18">
        <f t="shared" si="0"/>
        <v>0</v>
      </c>
    </row>
    <row r="26" spans="2:5" x14ac:dyDescent="0.25">
      <c r="E26" s="18">
        <f t="shared" si="0"/>
        <v>0</v>
      </c>
    </row>
    <row r="27" spans="2:5" x14ac:dyDescent="0.25">
      <c r="E27" s="18">
        <f t="shared" si="0"/>
        <v>0</v>
      </c>
    </row>
    <row r="28" spans="2:5" x14ac:dyDescent="0.25">
      <c r="E28" s="18">
        <f t="shared" si="0"/>
        <v>0</v>
      </c>
    </row>
    <row r="29" spans="2:5" x14ac:dyDescent="0.25">
      <c r="E29" s="18">
        <f t="shared" si="0"/>
        <v>0</v>
      </c>
    </row>
    <row r="30" spans="2:5" x14ac:dyDescent="0.25">
      <c r="E30" s="18">
        <f t="shared" si="0"/>
        <v>0</v>
      </c>
    </row>
    <row r="31" spans="2:5" x14ac:dyDescent="0.25">
      <c r="E31" s="18">
        <f t="shared" si="0"/>
        <v>0</v>
      </c>
    </row>
    <row r="32" spans="2:5" x14ac:dyDescent="0.25">
      <c r="E32" s="18">
        <f t="shared" si="0"/>
        <v>0</v>
      </c>
    </row>
    <row r="33" spans="5:5" x14ac:dyDescent="0.25">
      <c r="E33" s="18">
        <f t="shared" si="0"/>
        <v>0</v>
      </c>
    </row>
    <row r="34" spans="5:5" x14ac:dyDescent="0.25">
      <c r="E34" s="18">
        <f t="shared" ref="E34:E65" si="1">C34*D34</f>
        <v>0</v>
      </c>
    </row>
    <row r="35" spans="5:5" x14ac:dyDescent="0.25">
      <c r="E35" s="18">
        <f t="shared" si="1"/>
        <v>0</v>
      </c>
    </row>
    <row r="36" spans="5:5" x14ac:dyDescent="0.25">
      <c r="E36" s="18">
        <f t="shared" si="1"/>
        <v>0</v>
      </c>
    </row>
    <row r="37" spans="5:5" x14ac:dyDescent="0.25">
      <c r="E37" s="18">
        <f t="shared" si="1"/>
        <v>0</v>
      </c>
    </row>
    <row r="38" spans="5:5" x14ac:dyDescent="0.25">
      <c r="E38" s="18">
        <f t="shared" si="1"/>
        <v>0</v>
      </c>
    </row>
    <row r="39" spans="5:5" x14ac:dyDescent="0.25">
      <c r="E39" s="18">
        <f t="shared" si="1"/>
        <v>0</v>
      </c>
    </row>
    <row r="40" spans="5:5" x14ac:dyDescent="0.25">
      <c r="E40" s="18">
        <f t="shared" si="1"/>
        <v>0</v>
      </c>
    </row>
    <row r="41" spans="5:5" x14ac:dyDescent="0.25">
      <c r="E41" s="18">
        <f t="shared" si="1"/>
        <v>0</v>
      </c>
    </row>
    <row r="42" spans="5:5" x14ac:dyDescent="0.25">
      <c r="E42" s="18">
        <f t="shared" si="1"/>
        <v>0</v>
      </c>
    </row>
    <row r="43" spans="5:5" x14ac:dyDescent="0.25">
      <c r="E43" s="18">
        <f t="shared" si="1"/>
        <v>0</v>
      </c>
    </row>
    <row r="44" spans="5:5" x14ac:dyDescent="0.25">
      <c r="E44" s="18">
        <f t="shared" si="1"/>
        <v>0</v>
      </c>
    </row>
    <row r="45" spans="5:5" x14ac:dyDescent="0.25">
      <c r="E45" s="18">
        <f t="shared" si="1"/>
        <v>0</v>
      </c>
    </row>
    <row r="46" spans="5:5" x14ac:dyDescent="0.25">
      <c r="E46" s="18">
        <f t="shared" si="1"/>
        <v>0</v>
      </c>
    </row>
    <row r="47" spans="5:5" x14ac:dyDescent="0.25">
      <c r="E47" s="18">
        <f t="shared" si="1"/>
        <v>0</v>
      </c>
    </row>
    <row r="48" spans="5:5" x14ac:dyDescent="0.25">
      <c r="E48" s="18">
        <f t="shared" si="1"/>
        <v>0</v>
      </c>
    </row>
    <row r="49" spans="5:5" x14ac:dyDescent="0.25">
      <c r="E49" s="18">
        <f t="shared" si="1"/>
        <v>0</v>
      </c>
    </row>
    <row r="50" spans="5:5" x14ac:dyDescent="0.25">
      <c r="E50" s="18">
        <f t="shared" si="1"/>
        <v>0</v>
      </c>
    </row>
    <row r="51" spans="5:5" x14ac:dyDescent="0.25">
      <c r="E51" s="18">
        <f t="shared" si="1"/>
        <v>0</v>
      </c>
    </row>
    <row r="52" spans="5:5" x14ac:dyDescent="0.25">
      <c r="E52" s="18">
        <f t="shared" si="1"/>
        <v>0</v>
      </c>
    </row>
    <row r="53" spans="5:5" x14ac:dyDescent="0.25">
      <c r="E53" s="18">
        <f t="shared" si="1"/>
        <v>0</v>
      </c>
    </row>
    <row r="54" spans="5:5" x14ac:dyDescent="0.25">
      <c r="E54" s="18">
        <f t="shared" si="1"/>
        <v>0</v>
      </c>
    </row>
    <row r="55" spans="5:5" x14ac:dyDescent="0.25">
      <c r="E55" s="18">
        <f t="shared" si="1"/>
        <v>0</v>
      </c>
    </row>
    <row r="56" spans="5:5" x14ac:dyDescent="0.25">
      <c r="E56" s="18">
        <f t="shared" si="1"/>
        <v>0</v>
      </c>
    </row>
    <row r="57" spans="5:5" x14ac:dyDescent="0.25">
      <c r="E57" s="18">
        <f t="shared" si="1"/>
        <v>0</v>
      </c>
    </row>
    <row r="58" spans="5:5" x14ac:dyDescent="0.25">
      <c r="E58" s="18">
        <f t="shared" si="1"/>
        <v>0</v>
      </c>
    </row>
    <row r="59" spans="5:5" x14ac:dyDescent="0.25">
      <c r="E59" s="18">
        <f t="shared" si="1"/>
        <v>0</v>
      </c>
    </row>
    <row r="60" spans="5:5" x14ac:dyDescent="0.25">
      <c r="E60" s="18">
        <f t="shared" si="1"/>
        <v>0</v>
      </c>
    </row>
    <row r="61" spans="5:5" x14ac:dyDescent="0.25">
      <c r="E61" s="18">
        <f t="shared" si="1"/>
        <v>0</v>
      </c>
    </row>
    <row r="62" spans="5:5" x14ac:dyDescent="0.25">
      <c r="E62" s="18">
        <f t="shared" si="1"/>
        <v>0</v>
      </c>
    </row>
    <row r="63" spans="5:5" x14ac:dyDescent="0.25">
      <c r="E63" s="18">
        <f t="shared" si="1"/>
        <v>0</v>
      </c>
    </row>
    <row r="64" spans="5:5" x14ac:dyDescent="0.25">
      <c r="E64" s="18">
        <f t="shared" si="1"/>
        <v>0</v>
      </c>
    </row>
    <row r="65" spans="5:5" x14ac:dyDescent="0.25">
      <c r="E65" s="18">
        <f t="shared" si="1"/>
        <v>0</v>
      </c>
    </row>
    <row r="66" spans="5:5" x14ac:dyDescent="0.25">
      <c r="E66" s="18">
        <f t="shared" ref="E66:E97" si="2">C66*D66</f>
        <v>0</v>
      </c>
    </row>
    <row r="67" spans="5:5" x14ac:dyDescent="0.25">
      <c r="E67" s="18">
        <f t="shared" si="2"/>
        <v>0</v>
      </c>
    </row>
    <row r="68" spans="5:5" x14ac:dyDescent="0.25">
      <c r="E68" s="18">
        <f t="shared" si="2"/>
        <v>0</v>
      </c>
    </row>
    <row r="69" spans="5:5" x14ac:dyDescent="0.25">
      <c r="E69" s="18">
        <f t="shared" si="2"/>
        <v>0</v>
      </c>
    </row>
    <row r="70" spans="5:5" x14ac:dyDescent="0.25">
      <c r="E70" s="18">
        <f t="shared" si="2"/>
        <v>0</v>
      </c>
    </row>
    <row r="71" spans="5:5" x14ac:dyDescent="0.25">
      <c r="E71" s="18">
        <f t="shared" si="2"/>
        <v>0</v>
      </c>
    </row>
    <row r="72" spans="5:5" x14ac:dyDescent="0.25">
      <c r="E72" s="18">
        <f t="shared" si="2"/>
        <v>0</v>
      </c>
    </row>
    <row r="73" spans="5:5" x14ac:dyDescent="0.25">
      <c r="E73" s="18">
        <f t="shared" si="2"/>
        <v>0</v>
      </c>
    </row>
    <row r="74" spans="5:5" x14ac:dyDescent="0.25">
      <c r="E74" s="18">
        <f t="shared" si="2"/>
        <v>0</v>
      </c>
    </row>
    <row r="75" spans="5:5" x14ac:dyDescent="0.25">
      <c r="E75" s="18">
        <f t="shared" si="2"/>
        <v>0</v>
      </c>
    </row>
    <row r="76" spans="5:5" x14ac:dyDescent="0.25">
      <c r="E76" s="18">
        <f t="shared" si="2"/>
        <v>0</v>
      </c>
    </row>
    <row r="77" spans="5:5" x14ac:dyDescent="0.25">
      <c r="E77" s="18">
        <f t="shared" si="2"/>
        <v>0</v>
      </c>
    </row>
    <row r="78" spans="5:5" x14ac:dyDescent="0.25">
      <c r="E78" s="18">
        <f t="shared" si="2"/>
        <v>0</v>
      </c>
    </row>
    <row r="79" spans="5:5" x14ac:dyDescent="0.25">
      <c r="E79" s="18">
        <f t="shared" si="2"/>
        <v>0</v>
      </c>
    </row>
    <row r="80" spans="5:5" x14ac:dyDescent="0.25">
      <c r="E80" s="18">
        <f t="shared" si="2"/>
        <v>0</v>
      </c>
    </row>
    <row r="81" spans="5:5" x14ac:dyDescent="0.25">
      <c r="E81" s="18">
        <f t="shared" si="2"/>
        <v>0</v>
      </c>
    </row>
    <row r="82" spans="5:5" x14ac:dyDescent="0.25">
      <c r="E82" s="18">
        <f t="shared" si="2"/>
        <v>0</v>
      </c>
    </row>
    <row r="83" spans="5:5" x14ac:dyDescent="0.25">
      <c r="E83" s="18">
        <f t="shared" si="2"/>
        <v>0</v>
      </c>
    </row>
    <row r="84" spans="5:5" x14ac:dyDescent="0.25">
      <c r="E84" s="18">
        <f t="shared" si="2"/>
        <v>0</v>
      </c>
    </row>
    <row r="85" spans="5:5" x14ac:dyDescent="0.25">
      <c r="E85" s="18">
        <f t="shared" si="2"/>
        <v>0</v>
      </c>
    </row>
    <row r="86" spans="5:5" x14ac:dyDescent="0.25">
      <c r="E86" s="18">
        <f t="shared" si="2"/>
        <v>0</v>
      </c>
    </row>
    <row r="87" spans="5:5" x14ac:dyDescent="0.25">
      <c r="E87" s="18">
        <f t="shared" si="2"/>
        <v>0</v>
      </c>
    </row>
    <row r="88" spans="5:5" x14ac:dyDescent="0.25">
      <c r="E88" s="18">
        <f t="shared" si="2"/>
        <v>0</v>
      </c>
    </row>
    <row r="89" spans="5:5" x14ac:dyDescent="0.25">
      <c r="E89" s="18">
        <f t="shared" si="2"/>
        <v>0</v>
      </c>
    </row>
    <row r="90" spans="5:5" x14ac:dyDescent="0.25">
      <c r="E90" s="18">
        <f t="shared" si="2"/>
        <v>0</v>
      </c>
    </row>
    <row r="91" spans="5:5" x14ac:dyDescent="0.25">
      <c r="E91" s="18">
        <f t="shared" si="2"/>
        <v>0</v>
      </c>
    </row>
    <row r="92" spans="5:5" x14ac:dyDescent="0.25">
      <c r="E92" s="18">
        <f t="shared" si="2"/>
        <v>0</v>
      </c>
    </row>
    <row r="93" spans="5:5" x14ac:dyDescent="0.25">
      <c r="E93" s="18">
        <f t="shared" si="2"/>
        <v>0</v>
      </c>
    </row>
    <row r="94" spans="5:5" x14ac:dyDescent="0.25">
      <c r="E94" s="18">
        <f t="shared" si="2"/>
        <v>0</v>
      </c>
    </row>
    <row r="95" spans="5:5" x14ac:dyDescent="0.25">
      <c r="E95" s="18">
        <f t="shared" si="2"/>
        <v>0</v>
      </c>
    </row>
    <row r="96" spans="5:5" x14ac:dyDescent="0.25">
      <c r="E96" s="18">
        <f t="shared" si="2"/>
        <v>0</v>
      </c>
    </row>
    <row r="97" spans="5:5" x14ac:dyDescent="0.25">
      <c r="E97" s="18">
        <f t="shared" si="2"/>
        <v>0</v>
      </c>
    </row>
    <row r="98" spans="5:5" x14ac:dyDescent="0.25">
      <c r="E98" s="18">
        <f t="shared" ref="E98:E129" si="3">C98*D98</f>
        <v>0</v>
      </c>
    </row>
    <row r="99" spans="5:5" x14ac:dyDescent="0.25">
      <c r="E99" s="18">
        <f t="shared" si="3"/>
        <v>0</v>
      </c>
    </row>
    <row r="100" spans="5:5" x14ac:dyDescent="0.25">
      <c r="E100" s="18">
        <f t="shared" si="3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3" sqref="A3"/>
    </sheetView>
  </sheetViews>
  <sheetFormatPr baseColWidth="10" defaultColWidth="8.88671875" defaultRowHeight="14.4" x14ac:dyDescent="0.3"/>
  <cols>
    <col min="1" max="2" width="24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>
        <f>SUM(Compras!E2:E100)</f>
        <v>373900</v>
      </c>
    </row>
    <row r="3" spans="1:2" x14ac:dyDescent="0.3">
      <c r="A3" t="s">
        <v>11</v>
      </c>
      <c r="B3">
        <f>SUM(Ventas!E2:E100)</f>
        <v>191600</v>
      </c>
    </row>
    <row r="4" spans="1:2" x14ac:dyDescent="0.3">
      <c r="A4" t="s">
        <v>12</v>
      </c>
      <c r="B4">
        <f>B3-B2</f>
        <v>-182300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"/>
  <sheetViews>
    <sheetView tabSelected="1" workbookViewId="0">
      <selection activeCell="F16" sqref="F16"/>
    </sheetView>
  </sheetViews>
  <sheetFormatPr baseColWidth="10" defaultColWidth="8.88671875" defaultRowHeight="13.8" x14ac:dyDescent="0.25"/>
  <cols>
    <col min="1" max="1" width="24" style="23" customWidth="1"/>
    <col min="2" max="2" width="24" style="24" customWidth="1"/>
    <col min="3" max="3" width="24" style="25" customWidth="1"/>
    <col min="4" max="4" width="24" style="26" customWidth="1"/>
    <col min="5" max="16384" width="8.88671875" style="13"/>
  </cols>
  <sheetData>
    <row r="1" spans="1:4" x14ac:dyDescent="0.25">
      <c r="A1" s="19" t="s">
        <v>1</v>
      </c>
      <c r="B1" s="20" t="s">
        <v>13</v>
      </c>
      <c r="C1" s="21" t="s">
        <v>14</v>
      </c>
      <c r="D1" s="22" t="s">
        <v>15</v>
      </c>
    </row>
    <row r="2" spans="1:4" x14ac:dyDescent="0.25">
      <c r="A2" s="23" t="s">
        <v>23</v>
      </c>
      <c r="B2" s="24">
        <v>8</v>
      </c>
      <c r="C2" s="25">
        <v>5</v>
      </c>
      <c r="D2" s="26">
        <f t="shared" ref="D2:D33" si="0">B2-C2</f>
        <v>3</v>
      </c>
    </row>
    <row r="3" spans="1:4" x14ac:dyDescent="0.25">
      <c r="A3" s="23" t="s">
        <v>22</v>
      </c>
      <c r="B3" s="24">
        <v>6</v>
      </c>
      <c r="C3" s="25">
        <v>3</v>
      </c>
      <c r="D3" s="26">
        <f t="shared" si="0"/>
        <v>3</v>
      </c>
    </row>
    <row r="4" spans="1:4" x14ac:dyDescent="0.25">
      <c r="A4" s="23" t="s">
        <v>24</v>
      </c>
      <c r="B4" s="24">
        <f>SUMIF(Compras!B:B,A4,Compras!C:C)</f>
        <v>8</v>
      </c>
      <c r="C4" s="25">
        <f>SUMIF(Ventas!B:B,A4,Ventas!C:C)</f>
        <v>5</v>
      </c>
      <c r="D4" s="26">
        <f t="shared" si="0"/>
        <v>3</v>
      </c>
    </row>
    <row r="5" spans="1:4" x14ac:dyDescent="0.25">
      <c r="A5" s="23" t="s">
        <v>25</v>
      </c>
      <c r="B5" s="24">
        <f>SUMIF(Compras!B:B,A5,Compras!C:C)</f>
        <v>4</v>
      </c>
      <c r="C5" s="25">
        <f>SUMIF(Ventas!B:B,A5,Ventas!C:C)</f>
        <v>1</v>
      </c>
      <c r="D5" s="26">
        <f t="shared" si="0"/>
        <v>3</v>
      </c>
    </row>
    <row r="6" spans="1:4" x14ac:dyDescent="0.25">
      <c r="A6" s="23" t="s">
        <v>26</v>
      </c>
      <c r="B6" s="24">
        <f>SUMIF(Compras!B:B,A6,Compras!C:C)</f>
        <v>10</v>
      </c>
      <c r="C6" s="25">
        <f>SUMIF(Ventas!B:B,A6,Ventas!C:C)</f>
        <v>1</v>
      </c>
      <c r="D6" s="26">
        <f t="shared" si="0"/>
        <v>9</v>
      </c>
    </row>
    <row r="7" spans="1:4" x14ac:dyDescent="0.25">
      <c r="A7" s="23" t="s">
        <v>27</v>
      </c>
      <c r="B7" s="24">
        <f>SUMIF(Compras!B:B,A7,Compras!C:C)</f>
        <v>6</v>
      </c>
      <c r="C7" s="25">
        <f>SUMIF(Ventas!B:B,A7,Ventas!C:C)</f>
        <v>1</v>
      </c>
      <c r="D7" s="26">
        <f t="shared" si="0"/>
        <v>5</v>
      </c>
    </row>
    <row r="8" spans="1:4" x14ac:dyDescent="0.25">
      <c r="A8" s="23" t="s">
        <v>28</v>
      </c>
      <c r="B8" s="24">
        <f>SUMIF(Compras!B:B,A8,Compras!C:C)</f>
        <v>4</v>
      </c>
      <c r="C8" s="25">
        <f>SUMIF(Ventas!B:B,A8,Ventas!C:C)</f>
        <v>0</v>
      </c>
      <c r="D8" s="26">
        <f t="shared" si="0"/>
        <v>4</v>
      </c>
    </row>
    <row r="9" spans="1:4" x14ac:dyDescent="0.25">
      <c r="A9" s="23" t="s">
        <v>29</v>
      </c>
      <c r="B9" s="24">
        <f>SUMIF(Compras!B:B,A9,Compras!C:C)</f>
        <v>4</v>
      </c>
      <c r="C9" s="25">
        <f>SUMIF(Ventas!B:B,A9,Ventas!C:C)</f>
        <v>0</v>
      </c>
      <c r="D9" s="26">
        <f t="shared" si="0"/>
        <v>4</v>
      </c>
    </row>
    <row r="10" spans="1:4" x14ac:dyDescent="0.25">
      <c r="A10" s="23" t="s">
        <v>30</v>
      </c>
      <c r="B10" s="24">
        <f>SUMIF(Compras!B:B,A10,Compras!C:C)</f>
        <v>3</v>
      </c>
      <c r="C10" s="25">
        <f>SUMIF(Ventas!B:B,A10,Ventas!C:C)</f>
        <v>0</v>
      </c>
      <c r="D10" s="26">
        <f t="shared" si="0"/>
        <v>3</v>
      </c>
    </row>
    <row r="11" spans="1:4" x14ac:dyDescent="0.25">
      <c r="A11" s="23" t="s">
        <v>31</v>
      </c>
      <c r="B11" s="24">
        <f>SUMIF(Compras!B:B,A11,Compras!C:C)</f>
        <v>0</v>
      </c>
      <c r="C11" s="25">
        <f>SUMIF(Ventas!B:B,A11,Ventas!C:C)</f>
        <v>0</v>
      </c>
      <c r="D11" s="26">
        <f t="shared" si="0"/>
        <v>0</v>
      </c>
    </row>
    <row r="12" spans="1:4" x14ac:dyDescent="0.25">
      <c r="A12" s="23" t="s">
        <v>32</v>
      </c>
      <c r="B12" s="24">
        <f>SUMIF(Compras!B:B,A12,Compras!C:C)</f>
        <v>4</v>
      </c>
      <c r="C12" s="25">
        <f>SUMIF(Ventas!B:B,A12,Ventas!C:C)</f>
        <v>1</v>
      </c>
      <c r="D12" s="26">
        <f t="shared" si="0"/>
        <v>3</v>
      </c>
    </row>
    <row r="13" spans="1:4" x14ac:dyDescent="0.25">
      <c r="A13" s="23" t="s">
        <v>33</v>
      </c>
      <c r="B13" s="24">
        <f>SUMIF(Compras!B:B,A13,Compras!C:C)</f>
        <v>4</v>
      </c>
      <c r="C13" s="25">
        <f>SUMIF(Ventas!B:B,A13,Ventas!C:C)</f>
        <v>1</v>
      </c>
      <c r="D13" s="26">
        <f t="shared" si="0"/>
        <v>3</v>
      </c>
    </row>
    <row r="14" spans="1:4" x14ac:dyDescent="0.25">
      <c r="A14" s="23" t="s">
        <v>34</v>
      </c>
      <c r="B14" s="24">
        <f>SUMIF(Compras!B:B,A14,Compras!C:C)</f>
        <v>3</v>
      </c>
      <c r="C14" s="25">
        <f>SUMIF(Ventas!B:B,A14,Ventas!C:C)</f>
        <v>0</v>
      </c>
      <c r="D14" s="26">
        <f t="shared" si="0"/>
        <v>3</v>
      </c>
    </row>
    <row r="15" spans="1:4" x14ac:dyDescent="0.25">
      <c r="A15" s="23" t="s">
        <v>35</v>
      </c>
      <c r="B15" s="24">
        <f>SUMIF(Compras!B:B,A15,Compras!C:C)</f>
        <v>3</v>
      </c>
      <c r="C15" s="25">
        <f>SUMIF(Ventas!B:B,A15,Ventas!C:C)</f>
        <v>0</v>
      </c>
      <c r="D15" s="26">
        <f t="shared" si="0"/>
        <v>3</v>
      </c>
    </row>
    <row r="16" spans="1:4" x14ac:dyDescent="0.25">
      <c r="A16" s="23" t="s">
        <v>36</v>
      </c>
      <c r="B16" s="24">
        <f>SUMIF(Compras!B:B,A16,Compras!C:C)</f>
        <v>1</v>
      </c>
      <c r="C16" s="25">
        <f>SUMIF(Ventas!B:B,A16,Ventas!C:C)</f>
        <v>1</v>
      </c>
      <c r="D16" s="26">
        <f t="shared" si="0"/>
        <v>0</v>
      </c>
    </row>
    <row r="17" spans="1:4" x14ac:dyDescent="0.25">
      <c r="A17" s="23" t="s">
        <v>37</v>
      </c>
      <c r="B17" s="24">
        <f>SUMIF(Compras!B:B,A17,Compras!C:C)</f>
        <v>1</v>
      </c>
      <c r="C17" s="25">
        <f>SUMIF(Ventas!B:B,A17,Ventas!C:C)</f>
        <v>1</v>
      </c>
      <c r="D17" s="26">
        <f t="shared" si="0"/>
        <v>0</v>
      </c>
    </row>
    <row r="18" spans="1:4" x14ac:dyDescent="0.25">
      <c r="B18" s="24">
        <f>SUMIF(Compras!B:B,A18,Compras!C:C)</f>
        <v>0</v>
      </c>
      <c r="C18" s="25">
        <f>SUMIF(Ventas!B:B,A18,Ventas!C:C)</f>
        <v>0</v>
      </c>
      <c r="D18" s="26">
        <f t="shared" si="0"/>
        <v>0</v>
      </c>
    </row>
    <row r="19" spans="1:4" x14ac:dyDescent="0.25">
      <c r="B19" s="24">
        <f>SUMIF(Compras!B:B,A19,Compras!C:C)</f>
        <v>0</v>
      </c>
      <c r="C19" s="25">
        <f>SUMIF(Ventas!B:B,A19,Ventas!C:C)</f>
        <v>0</v>
      </c>
      <c r="D19" s="26">
        <f t="shared" si="0"/>
        <v>0</v>
      </c>
    </row>
    <row r="20" spans="1:4" x14ac:dyDescent="0.25">
      <c r="B20" s="24">
        <f>SUMIF(Compras!B:B,A20,Compras!C:C)</f>
        <v>0</v>
      </c>
      <c r="C20" s="25">
        <f>SUMIF(Ventas!B:B,A20,Ventas!C:C)</f>
        <v>0</v>
      </c>
      <c r="D20" s="26">
        <f t="shared" si="0"/>
        <v>0</v>
      </c>
    </row>
    <row r="21" spans="1:4" x14ac:dyDescent="0.25">
      <c r="B21" s="24">
        <f>SUMIF(Compras!B:B,A21,Compras!C:C)</f>
        <v>0</v>
      </c>
      <c r="C21" s="25">
        <f>SUMIF(Ventas!B:B,A21,Ventas!C:C)</f>
        <v>0</v>
      </c>
      <c r="D21" s="26">
        <f t="shared" si="0"/>
        <v>0</v>
      </c>
    </row>
    <row r="22" spans="1:4" x14ac:dyDescent="0.25">
      <c r="B22" s="24">
        <f>SUMIF(Compras!B:B,A22,Compras!C:C)</f>
        <v>0</v>
      </c>
      <c r="C22" s="25">
        <f>SUMIF(Ventas!B:B,A22,Ventas!C:C)</f>
        <v>0</v>
      </c>
      <c r="D22" s="26">
        <f t="shared" si="0"/>
        <v>0</v>
      </c>
    </row>
    <row r="23" spans="1:4" x14ac:dyDescent="0.25">
      <c r="B23" s="24">
        <f>SUMIF(Compras!B:B,A23,Compras!C:C)</f>
        <v>0</v>
      </c>
      <c r="C23" s="25">
        <f>SUMIF(Ventas!B:B,A23,Ventas!C:C)</f>
        <v>0</v>
      </c>
      <c r="D23" s="26">
        <f t="shared" si="0"/>
        <v>0</v>
      </c>
    </row>
    <row r="24" spans="1:4" x14ac:dyDescent="0.25">
      <c r="B24" s="24">
        <f>SUMIF(Compras!B:B,A24,Compras!C:C)</f>
        <v>0</v>
      </c>
      <c r="C24" s="25">
        <f>SUMIF(Ventas!B:B,A24,Ventas!C:C)</f>
        <v>0</v>
      </c>
      <c r="D24" s="26">
        <f t="shared" si="0"/>
        <v>0</v>
      </c>
    </row>
    <row r="25" spans="1:4" x14ac:dyDescent="0.25">
      <c r="B25" s="24">
        <f>SUMIF(Compras!B:B,A25,Compras!C:C)</f>
        <v>0</v>
      </c>
      <c r="C25" s="25">
        <f>SUMIF(Ventas!B:B,A25,Ventas!C:C)</f>
        <v>0</v>
      </c>
      <c r="D25" s="26">
        <f t="shared" si="0"/>
        <v>0</v>
      </c>
    </row>
    <row r="26" spans="1:4" x14ac:dyDescent="0.25">
      <c r="B26" s="24">
        <f>SUMIF(Compras!B:B,A26,Compras!C:C)</f>
        <v>0</v>
      </c>
      <c r="C26" s="25">
        <f>SUMIF(Ventas!B:B,A26,Ventas!C:C)</f>
        <v>0</v>
      </c>
      <c r="D26" s="26">
        <f t="shared" si="0"/>
        <v>0</v>
      </c>
    </row>
    <row r="27" spans="1:4" x14ac:dyDescent="0.25">
      <c r="B27" s="24">
        <f>SUMIF(Compras!B:B,A27,Compras!C:C)</f>
        <v>0</v>
      </c>
      <c r="C27" s="25">
        <f>SUMIF(Ventas!B:B,A27,Ventas!C:C)</f>
        <v>0</v>
      </c>
      <c r="D27" s="26">
        <f t="shared" si="0"/>
        <v>0</v>
      </c>
    </row>
    <row r="28" spans="1:4" x14ac:dyDescent="0.25">
      <c r="B28" s="24">
        <f>SUMIF(Compras!B:B,A28,Compras!C:C)</f>
        <v>0</v>
      </c>
      <c r="C28" s="25">
        <f>SUMIF(Ventas!B:B,A28,Ventas!C:C)</f>
        <v>0</v>
      </c>
      <c r="D28" s="26">
        <f t="shared" si="0"/>
        <v>0</v>
      </c>
    </row>
    <row r="29" spans="1:4" x14ac:dyDescent="0.25">
      <c r="B29" s="24">
        <f>SUMIF(Compras!B:B,A29,Compras!C:C)</f>
        <v>0</v>
      </c>
      <c r="C29" s="25">
        <f>SUMIF(Ventas!B:B,A29,Ventas!C:C)</f>
        <v>0</v>
      </c>
      <c r="D29" s="26">
        <f t="shared" si="0"/>
        <v>0</v>
      </c>
    </row>
    <row r="30" spans="1:4" x14ac:dyDescent="0.25">
      <c r="B30" s="24">
        <f>SUMIF(Compras!B:B,A30,Compras!C:C)</f>
        <v>0</v>
      </c>
      <c r="C30" s="25">
        <f>SUMIF(Ventas!B:B,A30,Ventas!C:C)</f>
        <v>0</v>
      </c>
      <c r="D30" s="26">
        <f t="shared" si="0"/>
        <v>0</v>
      </c>
    </row>
    <row r="31" spans="1:4" x14ac:dyDescent="0.25">
      <c r="B31" s="24">
        <f>SUMIF(Compras!B:B,A31,Compras!C:C)</f>
        <v>0</v>
      </c>
      <c r="C31" s="25">
        <f>SUMIF(Ventas!B:B,A31,Ventas!C:C)</f>
        <v>0</v>
      </c>
      <c r="D31" s="26">
        <f t="shared" si="0"/>
        <v>0</v>
      </c>
    </row>
    <row r="32" spans="1:4" x14ac:dyDescent="0.25">
      <c r="B32" s="24">
        <f>SUMIF(Compras!B:B,A32,Compras!C:C)</f>
        <v>0</v>
      </c>
      <c r="C32" s="25">
        <f>SUMIF(Ventas!B:B,A32,Ventas!C:C)</f>
        <v>0</v>
      </c>
      <c r="D32" s="26">
        <f t="shared" si="0"/>
        <v>0</v>
      </c>
    </row>
    <row r="33" spans="2:4" x14ac:dyDescent="0.25">
      <c r="B33" s="24">
        <f>SUMIF(Compras!B:B,A33,Compras!C:C)</f>
        <v>0</v>
      </c>
      <c r="C33" s="25">
        <f>SUMIF(Ventas!B:B,A33,Ventas!C:C)</f>
        <v>0</v>
      </c>
      <c r="D33" s="26">
        <f t="shared" si="0"/>
        <v>0</v>
      </c>
    </row>
    <row r="34" spans="2:4" x14ac:dyDescent="0.25">
      <c r="B34" s="24">
        <f>SUMIF(Compras!B:B,A34,Compras!C:C)</f>
        <v>0</v>
      </c>
      <c r="C34" s="25">
        <f>SUMIF(Ventas!B:B,A34,Ventas!C:C)</f>
        <v>0</v>
      </c>
      <c r="D34" s="26">
        <f t="shared" ref="D34:D65" si="1">B34-C34</f>
        <v>0</v>
      </c>
    </row>
    <row r="35" spans="2:4" x14ac:dyDescent="0.25">
      <c r="B35" s="24">
        <f>SUMIF(Compras!B:B,A35,Compras!C:C)</f>
        <v>0</v>
      </c>
      <c r="C35" s="25">
        <f>SUMIF(Ventas!B:B,A35,Ventas!C:C)</f>
        <v>0</v>
      </c>
      <c r="D35" s="26">
        <f t="shared" si="1"/>
        <v>0</v>
      </c>
    </row>
    <row r="36" spans="2:4" x14ac:dyDescent="0.25">
      <c r="B36" s="24">
        <f>SUMIF(Compras!B:B,A36,Compras!C:C)</f>
        <v>0</v>
      </c>
      <c r="C36" s="25">
        <f>SUMIF(Ventas!B:B,A36,Ventas!C:C)</f>
        <v>0</v>
      </c>
      <c r="D36" s="26">
        <f t="shared" si="1"/>
        <v>0</v>
      </c>
    </row>
    <row r="37" spans="2:4" x14ac:dyDescent="0.25">
      <c r="B37" s="24">
        <f>SUMIF(Compras!B:B,A37,Compras!C:C)</f>
        <v>0</v>
      </c>
      <c r="C37" s="25">
        <f>SUMIF(Ventas!B:B,A37,Ventas!C:C)</f>
        <v>0</v>
      </c>
      <c r="D37" s="26">
        <f t="shared" si="1"/>
        <v>0</v>
      </c>
    </row>
    <row r="38" spans="2:4" x14ac:dyDescent="0.25">
      <c r="B38" s="24">
        <f>SUMIF(Compras!B:B,A38,Compras!C:C)</f>
        <v>0</v>
      </c>
      <c r="C38" s="25">
        <f>SUMIF(Ventas!B:B,A38,Ventas!C:C)</f>
        <v>0</v>
      </c>
      <c r="D38" s="26">
        <f t="shared" si="1"/>
        <v>0</v>
      </c>
    </row>
    <row r="39" spans="2:4" x14ac:dyDescent="0.25">
      <c r="B39" s="24">
        <f>SUMIF(Compras!B:B,A39,Compras!C:C)</f>
        <v>0</v>
      </c>
      <c r="C39" s="25">
        <f>SUMIF(Ventas!B:B,A39,Ventas!C:C)</f>
        <v>0</v>
      </c>
      <c r="D39" s="26">
        <f t="shared" si="1"/>
        <v>0</v>
      </c>
    </row>
    <row r="40" spans="2:4" x14ac:dyDescent="0.25">
      <c r="B40" s="24">
        <f>SUMIF(Compras!B:B,A40,Compras!C:C)</f>
        <v>0</v>
      </c>
      <c r="C40" s="25">
        <f>SUMIF(Ventas!B:B,A40,Ventas!C:C)</f>
        <v>0</v>
      </c>
      <c r="D40" s="26">
        <f t="shared" si="1"/>
        <v>0</v>
      </c>
    </row>
    <row r="41" spans="2:4" x14ac:dyDescent="0.25">
      <c r="B41" s="24">
        <f>SUMIF(Compras!B:B,A41,Compras!C:C)</f>
        <v>0</v>
      </c>
      <c r="C41" s="25">
        <f>SUMIF(Ventas!B:B,A41,Ventas!C:C)</f>
        <v>0</v>
      </c>
      <c r="D41" s="26">
        <f t="shared" si="1"/>
        <v>0</v>
      </c>
    </row>
    <row r="42" spans="2:4" x14ac:dyDescent="0.25">
      <c r="B42" s="24">
        <f>SUMIF(Compras!B:B,A42,Compras!C:C)</f>
        <v>0</v>
      </c>
      <c r="C42" s="25">
        <f>SUMIF(Ventas!B:B,A42,Ventas!C:C)</f>
        <v>0</v>
      </c>
      <c r="D42" s="26">
        <f t="shared" si="1"/>
        <v>0</v>
      </c>
    </row>
    <row r="43" spans="2:4" x14ac:dyDescent="0.25">
      <c r="B43" s="24">
        <f>SUMIF(Compras!B:B,A43,Compras!C:C)</f>
        <v>0</v>
      </c>
      <c r="C43" s="25">
        <f>SUMIF(Ventas!B:B,A43,Ventas!C:C)</f>
        <v>0</v>
      </c>
      <c r="D43" s="26">
        <f t="shared" si="1"/>
        <v>0</v>
      </c>
    </row>
    <row r="44" spans="2:4" x14ac:dyDescent="0.25">
      <c r="B44" s="24">
        <f>SUMIF(Compras!B:B,A44,Compras!C:C)</f>
        <v>0</v>
      </c>
      <c r="C44" s="25">
        <f>SUMIF(Ventas!B:B,A44,Ventas!C:C)</f>
        <v>0</v>
      </c>
      <c r="D44" s="26">
        <f t="shared" si="1"/>
        <v>0</v>
      </c>
    </row>
    <row r="45" spans="2:4" x14ac:dyDescent="0.25">
      <c r="B45" s="24">
        <f>SUMIF(Compras!B:B,A45,Compras!C:C)</f>
        <v>0</v>
      </c>
      <c r="C45" s="25">
        <f>SUMIF(Ventas!B:B,A45,Ventas!C:C)</f>
        <v>0</v>
      </c>
      <c r="D45" s="26">
        <f t="shared" si="1"/>
        <v>0</v>
      </c>
    </row>
    <row r="46" spans="2:4" x14ac:dyDescent="0.25">
      <c r="B46" s="24">
        <f>SUMIF(Compras!B:B,A46,Compras!C:C)</f>
        <v>0</v>
      </c>
      <c r="C46" s="25">
        <f>SUMIF(Ventas!B:B,A46,Ventas!C:C)</f>
        <v>0</v>
      </c>
      <c r="D46" s="26">
        <f t="shared" si="1"/>
        <v>0</v>
      </c>
    </row>
    <row r="47" spans="2:4" x14ac:dyDescent="0.25">
      <c r="B47" s="24">
        <f>SUMIF(Compras!B:B,A47,Compras!C:C)</f>
        <v>0</v>
      </c>
      <c r="C47" s="25">
        <f>SUMIF(Ventas!B:B,A47,Ventas!C:C)</f>
        <v>0</v>
      </c>
      <c r="D47" s="26">
        <f t="shared" si="1"/>
        <v>0</v>
      </c>
    </row>
    <row r="48" spans="2:4" x14ac:dyDescent="0.25">
      <c r="B48" s="24">
        <f>SUMIF(Compras!B:B,A48,Compras!C:C)</f>
        <v>0</v>
      </c>
      <c r="C48" s="25">
        <f>SUMIF(Ventas!B:B,A48,Ventas!C:C)</f>
        <v>0</v>
      </c>
      <c r="D48" s="26">
        <f t="shared" si="1"/>
        <v>0</v>
      </c>
    </row>
    <row r="49" spans="2:4" x14ac:dyDescent="0.25">
      <c r="B49" s="24">
        <f>SUMIF(Compras!B:B,A49,Compras!C:C)</f>
        <v>0</v>
      </c>
      <c r="C49" s="25">
        <f>SUMIF(Ventas!B:B,A49,Ventas!C:C)</f>
        <v>0</v>
      </c>
      <c r="D49" s="26">
        <f t="shared" si="1"/>
        <v>0</v>
      </c>
    </row>
    <row r="50" spans="2:4" x14ac:dyDescent="0.25">
      <c r="B50" s="24">
        <f>SUMIF(Compras!B:B,A50,Compras!C:C)</f>
        <v>0</v>
      </c>
      <c r="C50" s="25">
        <f>SUMIF(Ventas!B:B,A50,Ventas!C:C)</f>
        <v>0</v>
      </c>
      <c r="D50" s="26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baseColWidth="10" defaultColWidth="8.88671875" defaultRowHeight="14.4" x14ac:dyDescent="0.3"/>
  <sheetData>
    <row r="1" spans="1:1" ht="21" x14ac:dyDescent="0.4">
      <c r="A1" s="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Compras</vt:lpstr>
      <vt:lpstr>Ventas</vt:lpstr>
      <vt:lpstr>Resumen</vt:lpstr>
      <vt:lpstr>Stock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alejandro diarte</cp:lastModifiedBy>
  <dcterms:created xsi:type="dcterms:W3CDTF">2026-05-15T13:11:13Z</dcterms:created>
  <dcterms:modified xsi:type="dcterms:W3CDTF">2026-05-15T15:14:14Z</dcterms:modified>
</cp:coreProperties>
</file>